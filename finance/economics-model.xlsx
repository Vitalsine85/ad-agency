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Assumptions" sheetId="2" state="visible" r:id="rId2"/>
    <sheet name="Model" sheetId="3" state="visible" r:id="rId3"/>
    <sheet name="Observed" sheetId="4" state="visible" r:id="rId4"/>
    <sheet name="Decis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$#,##0.00"/>
    <numFmt numFmtId="166" formatCode="0.0"/>
    <numFmt numFmtId="167" formatCode="$#,##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4CC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wrapText="1"/>
    </xf>
    <xf numFmtId="0" fontId="0" fillId="3" borderId="0" pivotButton="0" quotePrefix="0" xfId="0"/>
    <xf numFmtId="164" fontId="0" fillId="3" borderId="0" pivotButton="0" quotePrefix="0" xfId="0"/>
    <xf numFmtId="165" fontId="0" fillId="3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Creative Element — one-month validation model (course lesson 12)</t>
        </is>
      </c>
    </row>
    <row r="2">
      <c r="A2" t="inlineStr"/>
    </row>
    <row r="3">
      <c r="A3" t="inlineStr">
        <is>
          <t>Purpose: test whether the HVAC AI-ad offer earns qualified demand and fits delivery capacity. NOTHING here is guaranteed.</t>
        </is>
      </c>
    </row>
    <row r="4">
      <c r="A4" t="inlineStr">
        <is>
          <t>Yellow cells = ASSUMPTIONS (inputs you set before launch). Green cells = OBSERVED (fill only from the launch log once the event has happened).</t>
        </is>
      </c>
    </row>
    <row r="5">
      <c r="A5" t="inlineStr">
        <is>
          <t>Course figures ($500 pilot, $2,000/mo, $1,000/video) are presenter examples, not market rates — they appear only as labeled assumption inputs.</t>
        </is>
      </c>
    </row>
    <row r="6">
      <c r="A6" t="inlineStr">
        <is>
          <t>A metric becomes 'observed' only when: rates → logged denominator &gt; 0; paid conversion → payment status recorded; revenue → payment received;</t>
        </is>
      </c>
    </row>
    <row r="7">
      <c r="A7" t="inlineStr">
        <is>
          <t xml:space="preserve">   direct cost &amp; review time → every sample/campaign logged; gross margin → paid revenue and direct cost both known; churn → a subscription reached renewal.</t>
        </is>
      </c>
    </row>
    <row r="8">
      <c r="A8" t="inlineStr">
        <is>
          <t>Leave observed cells BLANK when the window can't support them. A 10–15 company batch tests qualified conversations, not long-term retention.</t>
        </is>
      </c>
    </row>
    <row r="9">
      <c r="A9" t="inlineStr">
        <is>
          <t>Decision rule (written before launch) is on the 'Decision' sheet. If REVISE: change ONE variable (niche, evidence, offer, message, price, or delivery) and rerun.</t>
        </is>
      </c>
    </row>
    <row r="10">
      <c r="A10" t="inlineStr">
        <is>
          <t>Sheets: Assumptions → Model (scenario math) → Observed (actuals) → Decision.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  <col width="14" customWidth="1" min="4" max="4"/>
    <col width="60" customWidth="1" min="6" max="6"/>
  </cols>
  <sheetData>
    <row r="1">
      <c r="A1" s="2" t="inlineStr">
        <is>
          <t>Input</t>
        </is>
      </c>
      <c r="B1" s="2" t="inlineStr">
        <is>
          <t>Conservative</t>
        </is>
      </c>
      <c r="C1" s="2" t="inlineStr">
        <is>
          <t>Base</t>
        </is>
      </c>
      <c r="D1" s="2" t="inlineStr">
        <is>
          <t>Optimistic</t>
        </is>
      </c>
      <c r="E1" s="2" t="inlineStr">
        <is>
          <t>Unit</t>
        </is>
      </c>
      <c r="F1" s="2" t="inlineStr">
        <is>
          <t>Notes / source</t>
        </is>
      </c>
    </row>
    <row r="2">
      <c r="A2" t="inlineStr">
        <is>
          <t>Qualified prospects contacted</t>
        </is>
      </c>
      <c r="B2" s="3" t="n">
        <v>15</v>
      </c>
      <c r="C2" s="3" t="n">
        <v>15</v>
      </c>
      <c r="D2" s="3" t="n">
        <v>15</v>
      </c>
      <c r="E2" t="inlineStr">
        <is>
          <t>companies</t>
        </is>
      </c>
      <c r="F2" t="inlineStr">
        <is>
          <t>Lesson 11: first batch 10–15</t>
        </is>
      </c>
    </row>
    <row r="3">
      <c r="A3" t="inlineStr">
        <is>
          <t>Delivery rate</t>
        </is>
      </c>
      <c r="B3" s="4" t="n">
        <v>0.85</v>
      </c>
      <c r="C3" s="4" t="n">
        <v>0.92</v>
      </c>
      <c r="D3" s="4" t="n">
        <v>0.97</v>
      </c>
      <c r="E3" t="inlineStr">
        <is>
          <t>%</t>
        </is>
      </c>
      <c r="F3" t="inlineStr">
        <is>
          <t>delivered / sent</t>
        </is>
      </c>
    </row>
    <row r="4">
      <c r="A4" t="inlineStr">
        <is>
          <t>Qualified reply rate</t>
        </is>
      </c>
      <c r="B4" s="4" t="n">
        <v>0.05</v>
      </c>
      <c r="C4" s="4" t="n">
        <v>0.15</v>
      </c>
      <c r="D4" s="4" t="n">
        <v>0.3</v>
      </c>
      <c r="E4" t="inlineStr">
        <is>
          <t>%</t>
        </is>
      </c>
      <c r="F4" t="inlineStr">
        <is>
          <t>qualified replies / delivered — video expert claimed ~50%; treat as hypothesis</t>
        </is>
      </c>
    </row>
    <row r="5">
      <c r="A5" t="inlineStr">
        <is>
          <t>Sample rate</t>
        </is>
      </c>
      <c r="B5" s="4" t="n">
        <v>0.4</v>
      </c>
      <c r="C5" s="4" t="n">
        <v>0.6</v>
      </c>
      <c r="D5" s="4" t="n">
        <v>0.8</v>
      </c>
      <c r="E5" t="inlineStr">
        <is>
          <t>%</t>
        </is>
      </c>
      <c r="F5" t="inlineStr">
        <is>
          <t>sample-ready profiles / qualified replies</t>
        </is>
      </c>
    </row>
    <row r="6">
      <c r="A6" t="inlineStr">
        <is>
          <t>Paid pilot conversion</t>
        </is>
      </c>
      <c r="B6" s="4" t="n">
        <v>0.2</v>
      </c>
      <c r="C6" s="4" t="n">
        <v>0.35</v>
      </c>
      <c r="D6" s="4" t="n">
        <v>0.5</v>
      </c>
      <c r="E6" t="inlineStr">
        <is>
          <t>%</t>
        </is>
      </c>
      <c r="F6" t="inlineStr">
        <is>
          <t>paid pilots / sample-ready profiles</t>
        </is>
      </c>
    </row>
    <row r="7">
      <c r="A7" t="inlineStr">
        <is>
          <t>Pilot → subscription conversion</t>
        </is>
      </c>
      <c r="B7" s="4" t="n">
        <v>0.25</v>
      </c>
      <c r="C7" s="4" t="n">
        <v>0.4</v>
      </c>
      <c r="D7" s="4" t="n">
        <v>0.6</v>
      </c>
      <c r="E7" t="inlineStr">
        <is>
          <t>%</t>
        </is>
      </c>
      <c r="F7" t="inlineStr">
        <is>
          <t>recurring / paid pilots</t>
        </is>
      </c>
    </row>
    <row r="8">
      <c r="A8" t="inlineStr">
        <is>
          <t>Monthly churn</t>
        </is>
      </c>
      <c r="B8" s="4" t="n">
        <v>0.2</v>
      </c>
      <c r="C8" s="4" t="n">
        <v>0.1</v>
      </c>
      <c r="D8" s="4" t="n">
        <v>0.05</v>
      </c>
      <c r="E8" t="inlineStr">
        <is>
          <t>%</t>
        </is>
      </c>
      <c r="F8" t="inlineStr">
        <is>
          <t>needs a renewal to observe</t>
        </is>
      </c>
    </row>
    <row r="9">
      <c r="A9" t="inlineStr">
        <is>
          <t>Pilot price</t>
        </is>
      </c>
      <c r="B9" s="5" t="n">
        <v>400</v>
      </c>
      <c r="C9" s="5" t="n">
        <v>500</v>
      </c>
      <c r="D9" s="5" t="n">
        <v>750</v>
      </c>
      <c r="E9" t="inlineStr">
        <is>
          <t>$</t>
        </is>
      </c>
      <c r="F9" t="inlineStr">
        <is>
          <t>course example $500 — not validated</t>
        </is>
      </c>
    </row>
    <row r="10">
      <c r="A10" t="inlineStr">
        <is>
          <t>Subscription price / month</t>
        </is>
      </c>
      <c r="B10" s="5" t="n">
        <v>1200</v>
      </c>
      <c r="C10" s="5" t="n">
        <v>1500</v>
      </c>
      <c r="D10" s="5" t="n">
        <v>2000</v>
      </c>
      <c r="E10" t="inlineStr">
        <is>
          <t>$</t>
        </is>
      </c>
      <c r="F10" t="inlineStr">
        <is>
          <t>course example $2,000 — not validated</t>
        </is>
      </c>
    </row>
    <row r="11">
      <c r="A11" t="inlineStr">
        <is>
          <t>Refund rate</t>
        </is>
      </c>
      <c r="B11" s="4" t="n">
        <v>0.1</v>
      </c>
      <c r="C11" s="4" t="n">
        <v>0.05</v>
      </c>
      <c r="D11" s="4" t="n">
        <v>0</v>
      </c>
      <c r="E11" t="inlineStr">
        <is>
          <t>%</t>
        </is>
      </c>
      <c r="F11" t="inlineStr"/>
    </row>
    <row r="12">
      <c r="A12" t="inlineStr">
        <is>
          <t>Payment fee rate</t>
        </is>
      </c>
      <c r="B12" s="4" t="n">
        <v>0.035</v>
      </c>
      <c r="C12" s="4" t="n">
        <v>0.03</v>
      </c>
      <c r="D12" s="4" t="n">
        <v>0.029</v>
      </c>
      <c r="E12" t="inlineStr">
        <is>
          <t>%</t>
        </is>
      </c>
      <c r="F12" t="inlineStr">
        <is>
          <t>card/PayPal processing</t>
        </is>
      </c>
    </row>
    <row r="13">
      <c r="A13" t="inlineStr">
        <is>
          <t>Credits per free sample</t>
        </is>
      </c>
      <c r="B13" s="3" t="n">
        <v>15</v>
      </c>
      <c r="C13" s="3" t="n">
        <v>10</v>
      </c>
      <c r="D13" s="3" t="n">
        <v>6</v>
      </c>
      <c r="E13" t="inlineStr">
        <is>
          <t>credits</t>
        </is>
      </c>
      <c r="F13" t="inlineStr">
        <is>
          <t>log actuals</t>
        </is>
      </c>
    </row>
    <row r="14">
      <c r="A14" t="inlineStr">
        <is>
          <t>Credits per pilot (5 ads)</t>
        </is>
      </c>
      <c r="B14" s="3" t="n">
        <v>200</v>
      </c>
      <c r="C14" s="3" t="n">
        <v>120</v>
      </c>
      <c r="D14" s="3" t="n">
        <v>80</v>
      </c>
      <c r="E14" t="inlineStr">
        <is>
          <t>credits</t>
        </is>
      </c>
      <c r="F14" t="inlineStr">
        <is>
          <t>log actuals</t>
        </is>
      </c>
    </row>
    <row r="15">
      <c r="A15" t="inlineStr">
        <is>
          <t>Credits per subscription month</t>
        </is>
      </c>
      <c r="B15" s="3" t="n">
        <v>500</v>
      </c>
      <c r="C15" s="3" t="n">
        <v>300</v>
      </c>
      <c r="D15" s="3" t="n">
        <v>200</v>
      </c>
      <c r="E15" t="inlineStr">
        <is>
          <t>credits</t>
        </is>
      </c>
      <c r="F15" t="inlineStr">
        <is>
          <t>~12 variations/mo</t>
        </is>
      </c>
    </row>
    <row r="16">
      <c r="A16" t="inlineStr">
        <is>
          <t>$ per Higgsfield credit</t>
        </is>
      </c>
      <c r="B16" s="5" t="n">
        <v>0.06</v>
      </c>
      <c r="C16" s="5" t="n">
        <v>0.05</v>
      </c>
      <c r="D16" s="5" t="n">
        <v>0.04</v>
      </c>
      <c r="E16" t="inlineStr">
        <is>
          <t>$</t>
        </is>
      </c>
      <c r="F16" t="inlineStr">
        <is>
          <t>check your plan; balance/transactions tools</t>
        </is>
      </c>
    </row>
    <row r="17">
      <c r="A17" t="inlineStr">
        <is>
          <t>Other tools per month (Claude, email, domain, etc.)</t>
        </is>
      </c>
      <c r="B17" s="5" t="n">
        <v>150</v>
      </c>
      <c r="C17" s="5" t="n">
        <v>120</v>
      </c>
      <c r="D17" s="5" t="n">
        <v>100</v>
      </c>
      <c r="E17" t="inlineStr">
        <is>
          <t>$</t>
        </is>
      </c>
      <c r="F17" t="inlineStr"/>
    </row>
    <row r="18">
      <c r="A18" t="inlineStr">
        <is>
          <t>Review minutes per free sample</t>
        </is>
      </c>
      <c r="B18" s="3" t="n">
        <v>45</v>
      </c>
      <c r="C18" s="3" t="n">
        <v>30</v>
      </c>
      <c r="D18" s="3" t="n">
        <v>20</v>
      </c>
      <c r="E18" t="inlineStr">
        <is>
          <t>min</t>
        </is>
      </c>
      <c r="F18" t="inlineStr"/>
    </row>
    <row r="19">
      <c r="A19" t="inlineStr">
        <is>
          <t>Hours per pilot (QC, revisions, comms)</t>
        </is>
      </c>
      <c r="B19" s="3" t="n">
        <v>8</v>
      </c>
      <c r="C19" s="3" t="n">
        <v>5</v>
      </c>
      <c r="D19" s="3" t="n">
        <v>3</v>
      </c>
      <c r="E19" t="inlineStr">
        <is>
          <t>hours</t>
        </is>
      </c>
      <c r="F19" t="inlineStr"/>
    </row>
    <row r="20">
      <c r="A20" t="inlineStr">
        <is>
          <t>Hours per subscription client per month</t>
        </is>
      </c>
      <c r="B20" s="3" t="n">
        <v>10</v>
      </c>
      <c r="C20" s="3" t="n">
        <v>6</v>
      </c>
      <c r="D20" s="3" t="n">
        <v>4</v>
      </c>
      <c r="E20" t="inlineStr">
        <is>
          <t>hours</t>
        </is>
      </c>
      <c r="F20" t="inlineStr"/>
    </row>
    <row r="21">
      <c r="A21" t="inlineStr">
        <is>
          <t>Owner hourly value</t>
        </is>
      </c>
      <c r="B21" s="5" t="n">
        <v>50</v>
      </c>
      <c r="C21" s="5" t="n">
        <v>50</v>
      </c>
      <c r="D21" s="5" t="n">
        <v>50</v>
      </c>
      <c r="E21" t="inlineStr">
        <is>
          <t>$/hour</t>
        </is>
      </c>
      <c r="F21" t="inlineStr">
        <is>
          <t>for labor cost; set your own</t>
        </is>
      </c>
    </row>
    <row r="22">
      <c r="A22" t="inlineStr">
        <is>
          <t>Max reviewer hours per month</t>
        </is>
      </c>
      <c r="B22" s="3" t="n">
        <v>80</v>
      </c>
      <c r="C22" s="3" t="n">
        <v>80</v>
      </c>
      <c r="D22" s="3" t="n">
        <v>80</v>
      </c>
      <c r="E22" t="inlineStr">
        <is>
          <t>hours</t>
        </is>
      </c>
      <c r="F22" t="inlineStr">
        <is>
          <t>capacity limit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55" customWidth="1" min="1" max="1"/>
    <col width="15" customWidth="1" min="2" max="2"/>
    <col width="15" customWidth="1" min="3" max="3"/>
    <col width="15" customWidth="1" min="4" max="4"/>
    <col width="30" customWidth="1" min="5" max="5"/>
  </cols>
  <sheetData>
    <row r="1">
      <c r="A1" s="2" t="inlineStr">
        <is>
          <t>Metric (one month, computed from Assumptions)</t>
        </is>
      </c>
      <c r="B1" s="2" t="inlineStr">
        <is>
          <t>Conservative</t>
        </is>
      </c>
      <c r="C1" s="2" t="inlineStr">
        <is>
          <t>Base</t>
        </is>
      </c>
      <c r="D1" s="2" t="inlineStr">
        <is>
          <t>Optimistic</t>
        </is>
      </c>
      <c r="E1" s="2" t="inlineStr">
        <is>
          <t>Formula note</t>
        </is>
      </c>
    </row>
    <row r="2">
      <c r="A2" t="inlineStr">
        <is>
          <t>Messages delivered</t>
        </is>
      </c>
      <c r="B2" s="6">
        <f>Assumptions!B2*Assumptions!B3</f>
        <v/>
      </c>
      <c r="C2" s="6">
        <f>Assumptions!C2*Assumptions!C3</f>
        <v/>
      </c>
      <c r="D2" s="6">
        <f>Assumptions!D2*Assumptions!D3</f>
        <v/>
      </c>
      <c r="E2" t="inlineStr">
        <is>
          <t>contacted × delivery</t>
        </is>
      </c>
    </row>
    <row r="3">
      <c r="A3" t="inlineStr">
        <is>
          <t>Qualified replies</t>
        </is>
      </c>
      <c r="B3" s="6">
        <f>B2*Assumptions!B4</f>
        <v/>
      </c>
      <c r="C3" s="6">
        <f>C2*Assumptions!C4</f>
        <v/>
      </c>
      <c r="D3" s="6">
        <f>D2*Assumptions!D4</f>
        <v/>
      </c>
      <c r="E3" t="inlineStr"/>
    </row>
    <row r="4">
      <c r="A4" t="inlineStr">
        <is>
          <t>Sample-ready profiles</t>
        </is>
      </c>
      <c r="B4" s="6">
        <f>B3*Assumptions!B5</f>
        <v/>
      </c>
      <c r="C4" s="6">
        <f>C3*Assumptions!C5</f>
        <v/>
      </c>
      <c r="D4" s="6">
        <f>D3*Assumptions!D5</f>
        <v/>
      </c>
      <c r="E4" t="inlineStr"/>
    </row>
    <row r="5">
      <c r="A5" t="inlineStr">
        <is>
          <t>Paid pilots</t>
        </is>
      </c>
      <c r="B5" s="6">
        <f>B4*Assumptions!B6</f>
        <v/>
      </c>
      <c r="C5" s="6">
        <f>C4*Assumptions!C6</f>
        <v/>
      </c>
      <c r="D5" s="6">
        <f>D4*Assumptions!D6</f>
        <v/>
      </c>
      <c r="E5" t="inlineStr"/>
    </row>
    <row r="6">
      <c r="A6" t="inlineStr">
        <is>
          <t>Recurring clients (start of next month)</t>
        </is>
      </c>
      <c r="B6" s="6">
        <f>B5*Assumptions!B7</f>
        <v/>
      </c>
      <c r="C6" s="6">
        <f>C5*Assumptions!C7</f>
        <v/>
      </c>
      <c r="D6" s="6">
        <f>D5*Assumptions!D7</f>
        <v/>
      </c>
      <c r="E6" t="inlineStr"/>
    </row>
    <row r="7">
      <c r="A7" t="inlineStr">
        <is>
          <t>Pilot revenue (gross)</t>
        </is>
      </c>
      <c r="B7" s="7">
        <f>B5*Assumptions!B9</f>
        <v/>
      </c>
      <c r="C7" s="7">
        <f>C5*Assumptions!C9</f>
        <v/>
      </c>
      <c r="D7" s="7">
        <f>D5*Assumptions!D9</f>
        <v/>
      </c>
      <c r="E7" t="inlineStr"/>
    </row>
    <row r="8">
      <c r="A8" t="inlineStr">
        <is>
          <t>Subscription revenue (first month, after churn)</t>
        </is>
      </c>
      <c r="B8" s="7">
        <f>B6*(1-Assumptions!B8)*Assumptions!B10</f>
        <v/>
      </c>
      <c r="C8" s="7">
        <f>C6*(1-Assumptions!C8)*Assumptions!C10</f>
        <v/>
      </c>
      <c r="D8" s="7">
        <f>D6*(1-Assumptions!D8)*Assumptions!D10</f>
        <v/>
      </c>
      <c r="E8" t="inlineStr"/>
    </row>
    <row r="9">
      <c r="A9" t="inlineStr">
        <is>
          <t>Gross revenue</t>
        </is>
      </c>
      <c r="B9" s="7">
        <f>B7+B8</f>
        <v/>
      </c>
      <c r="C9" s="7">
        <f>C7+C8</f>
        <v/>
      </c>
      <c r="D9" s="7">
        <f>D7+D8</f>
        <v/>
      </c>
      <c r="E9" t="inlineStr"/>
    </row>
    <row r="10">
      <c r="A10" t="inlineStr">
        <is>
          <t>Refunds + payment fees</t>
        </is>
      </c>
      <c r="B10" s="7">
        <f>B9*(Assumptions!B11+Assumptions!B12)</f>
        <v/>
      </c>
      <c r="C10" s="7">
        <f>C9*(Assumptions!C11+Assumptions!C12)</f>
        <v/>
      </c>
      <c r="D10" s="7">
        <f>D9*(Assumptions!D11+Assumptions!D12)</f>
        <v/>
      </c>
      <c r="E10" t="inlineStr"/>
    </row>
    <row r="11">
      <c r="A11" t="inlineStr">
        <is>
          <t>Net revenue</t>
        </is>
      </c>
      <c r="B11" s="7">
        <f>B9-B10</f>
        <v/>
      </c>
      <c r="C11" s="7">
        <f>C9-C10</f>
        <v/>
      </c>
      <c r="D11" s="7">
        <f>D9-D10</f>
        <v/>
      </c>
      <c r="E11" t="inlineStr"/>
    </row>
    <row r="12">
      <c r="A12" t="inlineStr">
        <is>
          <t>Credits used</t>
        </is>
      </c>
      <c r="B12" s="6">
        <f>B4*Assumptions!B13+B5*Assumptions!B14+B6*Assumptions!B15</f>
        <v/>
      </c>
      <c r="C12" s="6">
        <f>C4*Assumptions!C13+C5*Assumptions!C14+C6*Assumptions!C15</f>
        <v/>
      </c>
      <c r="D12" s="6">
        <f>D4*Assumptions!D13+D5*Assumptions!D14+D6*Assumptions!D15</f>
        <v/>
      </c>
      <c r="E12" t="inlineStr"/>
    </row>
    <row r="13">
      <c r="A13" t="inlineStr">
        <is>
          <t>Credit cost</t>
        </is>
      </c>
      <c r="B13" s="7">
        <f>B12*Assumptions!B16</f>
        <v/>
      </c>
      <c r="C13" s="7">
        <f>C12*Assumptions!C16</f>
        <v/>
      </c>
      <c r="D13" s="7">
        <f>D12*Assumptions!D16</f>
        <v/>
      </c>
      <c r="E13" t="inlineStr"/>
    </row>
    <row r="14">
      <c r="A14" t="inlineStr">
        <is>
          <t>Tools cost</t>
        </is>
      </c>
      <c r="B14" s="7">
        <f>Assumptions!B17</f>
        <v/>
      </c>
      <c r="C14" s="7">
        <f>Assumptions!C17</f>
        <v/>
      </c>
      <c r="D14" s="7">
        <f>Assumptions!D17</f>
        <v/>
      </c>
      <c r="E14" t="inlineStr"/>
    </row>
    <row r="15">
      <c r="A15" t="inlineStr">
        <is>
          <t>Direct cost (credits + tools)</t>
        </is>
      </c>
      <c r="B15" s="7">
        <f>B13+B14</f>
        <v/>
      </c>
      <c r="C15" s="7">
        <f>C13+C14</f>
        <v/>
      </c>
      <c r="D15" s="7">
        <f>D13+D14</f>
        <v/>
      </c>
      <c r="E15" t="inlineStr"/>
    </row>
    <row r="16">
      <c r="A16" t="inlineStr">
        <is>
          <t>Labor hours</t>
        </is>
      </c>
      <c r="B16" s="6">
        <f>B4*Assumptions!B18/60+B5*Assumptions!B19+B6*Assumptions!B20</f>
        <v/>
      </c>
      <c r="C16" s="6">
        <f>C4*Assumptions!C18/60+C5*Assumptions!C19+C6*Assumptions!C20</f>
        <v/>
      </c>
      <c r="D16" s="6">
        <f>D4*Assumptions!D18/60+D5*Assumptions!D19+D6*Assumptions!D20</f>
        <v/>
      </c>
      <c r="E16" t="inlineStr"/>
    </row>
    <row r="17">
      <c r="A17" t="inlineStr">
        <is>
          <t>Labor cost (at owner hourly value)</t>
        </is>
      </c>
      <c r="B17" s="7">
        <f>B16*Assumptions!B21</f>
        <v/>
      </c>
      <c r="C17" s="7">
        <f>C16*Assumptions!C21</f>
        <v/>
      </c>
      <c r="D17" s="7">
        <f>D16*Assumptions!D21</f>
        <v/>
      </c>
      <c r="E17" t="inlineStr"/>
    </row>
    <row r="18">
      <c r="A18" t="inlineStr">
        <is>
          <t>Gross margin (net revenue − direct cost)</t>
        </is>
      </c>
      <c r="B18" s="7">
        <f>B11-B15</f>
        <v/>
      </c>
      <c r="C18" s="7">
        <f>C11-C15</f>
        <v/>
      </c>
      <c r="D18" s="7">
        <f>D11-D15</f>
        <v/>
      </c>
      <c r="E18" t="inlineStr"/>
    </row>
    <row r="19">
      <c r="A19" t="inlineStr">
        <is>
          <t>Gross margin %</t>
        </is>
      </c>
      <c r="B19" s="8">
        <f>IF(B11=0,0,B18/B11)</f>
        <v/>
      </c>
      <c r="C19" s="8">
        <f>IF(C11=0,0,C18/C11)</f>
        <v/>
      </c>
      <c r="D19" s="8">
        <f>IF(D11=0,0,D18/D11)</f>
        <v/>
      </c>
      <c r="E19" t="inlineStr"/>
    </row>
    <row r="20">
      <c r="A20" t="inlineStr">
        <is>
          <t>Contribution after labor</t>
        </is>
      </c>
      <c r="B20" s="7">
        <f>B18-B17</f>
        <v/>
      </c>
      <c r="C20" s="7">
        <f>C18-C17</f>
        <v/>
      </c>
      <c r="D20" s="7">
        <f>D18-D17</f>
        <v/>
      </c>
      <c r="E20" t="inlineStr"/>
    </row>
    <row r="21">
      <c r="A21" t="inlineStr">
        <is>
          <t>Capacity used (labor hrs / max hrs)</t>
        </is>
      </c>
      <c r="B21" s="8">
        <f>B16/Assumptions!B22</f>
        <v/>
      </c>
      <c r="C21" s="8">
        <f>C16/Assumptions!C22</f>
        <v/>
      </c>
      <c r="D21" s="8">
        <f>D16/Assumptions!D22</f>
        <v/>
      </c>
      <c r="E21" t="inlineStr"/>
    </row>
    <row r="22">
      <c r="A22" t="inlineStr">
        <is>
          <t>Clients needed at sub price to reach $10k/mo (illustrative)</t>
        </is>
      </c>
      <c r="B22" s="6">
        <f>10000/Assumptions!B10</f>
        <v/>
      </c>
      <c r="C22" s="6">
        <f>10000/Assumptions!C10</f>
        <v/>
      </c>
      <c r="D22" s="6">
        <f>10000/Assumptions!D10</f>
        <v/>
      </c>
      <c r="E22" t="inlineStr">
        <is>
          <t>course math example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40" customWidth="1" min="5" max="5"/>
  </cols>
  <sheetData>
    <row r="1">
      <c r="A1" s="2" t="inlineStr">
        <is>
          <t>Metric</t>
        </is>
      </c>
      <c r="B1" s="2" t="inlineStr">
        <is>
          <t>Observed value</t>
        </is>
      </c>
      <c r="C1" s="2" t="inlineStr">
        <is>
          <t>Denominator / basis</t>
        </is>
      </c>
      <c r="D1" s="2" t="inlineStr">
        <is>
          <t>Window (dates)</t>
        </is>
      </c>
      <c r="E1" s="2" t="inlineStr">
        <is>
          <t>Becomes observed when…</t>
        </is>
      </c>
    </row>
    <row r="2">
      <c r="A2" t="inlineStr">
        <is>
          <t>Messages sent</t>
        </is>
      </c>
      <c r="B2" s="9" t="n"/>
      <c r="E2" t="inlineStr">
        <is>
          <t>logged in launch-log.csv</t>
        </is>
      </c>
    </row>
    <row r="3">
      <c r="A3" t="inlineStr">
        <is>
          <t>Messages delivered</t>
        </is>
      </c>
      <c r="B3" s="9" t="n"/>
      <c r="E3" t="inlineStr"/>
    </row>
    <row r="4">
      <c r="A4" t="inlineStr">
        <is>
          <t>Delivery rate</t>
        </is>
      </c>
      <c r="B4" s="10">
        <f>IF(OR(B2="",B2=0),"",B3/B2)</f>
        <v/>
      </c>
      <c r="E4" t="inlineStr">
        <is>
          <t>denominator &gt; 0</t>
        </is>
      </c>
    </row>
    <row r="5">
      <c r="A5" t="inlineStr">
        <is>
          <t>Qualified replies</t>
        </is>
      </c>
      <c r="B5" s="9" t="n"/>
      <c r="E5" t="inlineStr"/>
    </row>
    <row r="6">
      <c r="A6" t="inlineStr">
        <is>
          <t>Qualified reply rate</t>
        </is>
      </c>
      <c r="B6" s="10">
        <f>IF(OR(B3="",B3=0),"",B5/B3)</f>
        <v/>
      </c>
      <c r="E6" t="inlineStr">
        <is>
          <t>denominator &gt; 0</t>
        </is>
      </c>
    </row>
    <row r="7">
      <c r="A7" t="inlineStr">
        <is>
          <t>Sample-ready profiles</t>
        </is>
      </c>
      <c r="B7" s="9" t="n"/>
      <c r="E7" t="inlineStr"/>
    </row>
    <row r="8">
      <c r="A8" t="inlineStr">
        <is>
          <t>Sample rate</t>
        </is>
      </c>
      <c r="B8" s="10">
        <f>IF(OR(B5="",B5=0),"",B7/B5)</f>
        <v/>
      </c>
      <c r="E8" t="inlineStr"/>
    </row>
    <row r="9">
      <c r="A9" t="inlineStr">
        <is>
          <t>Paid pilots (payment recorded)</t>
        </is>
      </c>
      <c r="B9" s="9" t="n"/>
      <c r="E9" t="inlineStr">
        <is>
          <t>payment status recorded</t>
        </is>
      </c>
    </row>
    <row r="10">
      <c r="A10" t="inlineStr">
        <is>
          <t>Paid conversion</t>
        </is>
      </c>
      <c r="B10" s="10">
        <f>IF(OR(B7="",B7=0),"",B9/B7)</f>
        <v/>
      </c>
      <c r="E10" t="inlineStr"/>
    </row>
    <row r="11">
      <c r="A11" t="inlineStr">
        <is>
          <t>Revenue received</t>
        </is>
      </c>
      <c r="B11" s="9" t="n"/>
      <c r="E11" t="inlineStr">
        <is>
          <t>payment received</t>
        </is>
      </c>
    </row>
    <row r="12">
      <c r="A12" t="inlineStr">
        <is>
          <t>Direct cost (credits $ + tools)</t>
        </is>
      </c>
      <c r="B12" s="9" t="n"/>
      <c r="E12" t="inlineStr">
        <is>
          <t>every sample/campaign logged</t>
        </is>
      </c>
    </row>
    <row r="13">
      <c r="A13" t="inlineStr">
        <is>
          <t>Labor hours logged</t>
        </is>
      </c>
      <c r="B13" s="9" t="n"/>
      <c r="E13" t="inlineStr"/>
    </row>
    <row r="14">
      <c r="A14" t="inlineStr">
        <is>
          <t>Gross margin</t>
        </is>
      </c>
      <c r="B14" s="9">
        <f>IF(OR(B11="",B12=""),"",B11-B12)</f>
        <v/>
      </c>
      <c r="E14" t="inlineStr">
        <is>
          <t>revenue and direct cost both known</t>
        </is>
      </c>
    </row>
    <row r="15">
      <c r="A15" t="inlineStr">
        <is>
          <t>Recurring clients</t>
        </is>
      </c>
      <c r="B15" s="9" t="n"/>
      <c r="E15" t="inlineStr"/>
    </row>
    <row r="16">
      <c r="A16" t="inlineStr">
        <is>
          <t>Churned at renewal</t>
        </is>
      </c>
      <c r="B16" s="9" t="n"/>
      <c r="E16" t="inlineStr">
        <is>
          <t>a subscription reached renewal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0" customWidth="1" min="1" max="1"/>
    <col width="34" customWidth="1" min="2" max="2"/>
  </cols>
  <sheetData>
    <row r="1">
      <c r="A1" s="2" t="inlineStr">
        <is>
          <t>Rule (set BEFORE launch)</t>
        </is>
      </c>
      <c r="B1" s="2" t="inlineStr">
        <is>
          <t>Threshold</t>
        </is>
      </c>
      <c r="C1" s="2" t="inlineStr">
        <is>
          <t>Observed</t>
        </is>
      </c>
      <c r="D1" s="2" t="inlineStr">
        <is>
          <t>Pass?</t>
        </is>
      </c>
    </row>
    <row r="2">
      <c r="A2" t="inlineStr">
        <is>
          <t>Paid pilots ≥</t>
        </is>
      </c>
      <c r="B2" s="3" t="n">
        <v>1</v>
      </c>
      <c r="C2" s="9">
        <f>Observed!B9</f>
        <v/>
      </c>
      <c r="D2">
        <f>IF(C2="","",IF(C2&gt;=B2,"PASS","FAIL"))</f>
        <v/>
      </c>
    </row>
    <row r="3">
      <c r="A3" t="inlineStr">
        <is>
          <t>Qualified replies ≥</t>
        </is>
      </c>
      <c r="B3" s="3" t="n">
        <v>2</v>
      </c>
      <c r="C3" s="9">
        <f>Observed!B5</f>
        <v/>
      </c>
      <c r="D3">
        <f>IF(C3="","",IF(C3&gt;=B3,"PASS","FAIL"))</f>
        <v/>
      </c>
    </row>
    <row r="4">
      <c r="A4" t="inlineStr">
        <is>
          <t>Avg direct cost per free sample ≤ ($)</t>
        </is>
      </c>
      <c r="B4" s="3" t="n">
        <v>5</v>
      </c>
      <c r="C4" s="9" t="n"/>
      <c r="D4">
        <f>IF(C4="","",IF(C4&lt;=B4,"PASS","FAIL"))</f>
        <v/>
      </c>
    </row>
    <row r="5">
      <c r="A5" t="inlineStr">
        <is>
          <t>Avg review minutes per free sample ≤</t>
        </is>
      </c>
      <c r="B5" s="3" t="n">
        <v>45</v>
      </c>
      <c r="C5" s="9" t="n"/>
      <c r="D5">
        <f>IF(C5="","",IF(C5&lt;=B5,"PASS","FAIL"))</f>
        <v/>
      </c>
    </row>
    <row r="6">
      <c r="A6" t="inlineStr">
        <is>
          <t>Labor hours this month ≤ max reviewer hours</t>
        </is>
      </c>
      <c r="B6" s="3">
        <f>Assumptions!C22</f>
        <v/>
      </c>
      <c r="C6" s="9">
        <f>Observed!B13</f>
        <v/>
      </c>
      <c r="D6">
        <f>IF(C6="","",IF(C6&lt;=B6,"PASS","FAIL"))</f>
        <v/>
      </c>
    </row>
    <row r="9">
      <c r="A9" s="11" t="inlineStr">
        <is>
          <t>Decision</t>
        </is>
      </c>
      <c r="B9">
        <f>IF(C3="","(not enough data)",IF(C3=0,"STOP — no qualified demand",IF(AND(D2="PASS",COUNTIF(D4:D6,"FAIL")=0),"GO","REVISE — change ONE variable")))</f>
        <v/>
      </c>
    </row>
    <row r="11">
      <c r="A11" t="inlineStr">
        <is>
          <t>GO: a paid conversion occurred and observed cost, margin and review time fit the limits.</t>
        </is>
      </c>
    </row>
    <row r="12">
      <c r="A12" t="inlineStr">
        <is>
          <t>REVISE: some qualified demand appeared, but one conversion, cost or capacity threshold failed → change one variable and run another small test.</t>
        </is>
      </c>
    </row>
    <row r="13">
      <c r="A13" t="inlineStr">
        <is>
          <t>STOP: no qualified demand, or observed economics remain unacceptable.</t>
        </is>
      </c>
    </row>
    <row r="14">
      <c r="A14" t="inlineStr">
        <is>
          <t>Do not scale until observed numbers support both demand and delivery capacity.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2026-10-15T18:22:31Z</dcterms:created>
  <dcterms:modified xsi:type="dcterms:W3CDTF">2026-10-15T18:22:31Z</dcterms:modified>
</cp:coreProperties>
</file>